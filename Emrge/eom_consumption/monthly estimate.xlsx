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kordiagroup-my.sharepoint.com/personal/bo_xiao_kordia_co_nz/Documents/Customers/Emrge/eom_consumption/"/>
    </mc:Choice>
  </mc:AlternateContent>
  <xr:revisionPtr revIDLastSave="101" documentId="11_F25DC773A252ABDACC104866C9D975865ADE58E4" xr6:coauthVersionLast="47" xr6:coauthVersionMax="47" xr10:uidLastSave="{50219A4B-BEE1-4A92-A013-93C5E31B85E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8" i="1"/>
  <c r="G9" i="1"/>
  <c r="G6" i="1"/>
  <c r="G7" i="1"/>
  <c r="G3" i="1"/>
  <c r="G4" i="1"/>
  <c r="G5" i="1"/>
  <c r="G2" i="1"/>
</calcChain>
</file>

<file path=xl/sharedStrings.xml><?xml version="1.0" encoding="utf-8"?>
<sst xmlns="http://schemas.openxmlformats.org/spreadsheetml/2006/main" count="26" uniqueCount="13">
  <si>
    <t>Cost</t>
  </si>
  <si>
    <t>Revenue</t>
  </si>
  <si>
    <t>Reservation</t>
  </si>
  <si>
    <t>Total</t>
  </si>
  <si>
    <t>2025/10</t>
  </si>
  <si>
    <t>2025/09</t>
  </si>
  <si>
    <t>EOM period</t>
  </si>
  <si>
    <t>2025/11</t>
  </si>
  <si>
    <t>Azure CSP Consumption</t>
  </si>
  <si>
    <t>Estimation accruals</t>
  </si>
  <si>
    <t>M365 &amp; Software subscription</t>
  </si>
  <si>
    <t>2025/12</t>
  </si>
  <si>
    <t>2026/01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</si>
</sst>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"/>
  <sheetViews>
    <sheetView tabSelected="1" workbookViewId="0">
      <selection sqref="A1:F11"/>
    </sheetView>
  </sheetViews>
  <sheetFormatPr defaultColWidth="26.140625" defaultRowHeight="15" x14ac:dyDescent="0.25"/>
  <cols>
    <col min="1" max="5" width="26.140625" style="1"/>
  </cols>
  <sheetData>
    <row r="1" spans="1:7" x14ac:dyDescent="0.25">
      <c r="A1" s="2" t="s">
        <v>9</v>
      </c>
      <c r="B1" s="2" t="s">
        <v>10</v>
      </c>
      <c r="C1" s="2" t="s">
        <v>2</v>
      </c>
      <c r="D1" s="2" t="s">
        <v>8</v>
      </c>
      <c r="E1" s="2" t="s">
        <v>3</v>
      </c>
      <c r="F1" s="2" t="s">
        <v>6</v>
      </c>
    </row>
    <row r="2" spans="1:7" s="3" customFormat="1" hidden="1" x14ac:dyDescent="0.25">
      <c r="A2" s="4" t="s">
        <v>0</v>
      </c>
      <c r="B2" s="4">
        <v>68555.399999999994</v>
      </c>
      <c r="C2" s="4">
        <v>15217.28</v>
      </c>
      <c r="D2" s="4">
        <v>148139.57999999999</v>
      </c>
      <c r="E2" s="4">
        <v>231912.26</v>
      </c>
      <c r="F2" s="6" t="s">
        <v>5</v>
      </c>
      <c r="G2" s="5">
        <f>SUM(B2:D2)</f>
        <v>231912.25999999998</v>
      </c>
    </row>
    <row r="3" spans="1:7" s="3" customFormat="1" hidden="1" x14ac:dyDescent="0.25">
      <c r="A3" s="4" t="s">
        <v>1</v>
      </c>
      <c r="B3" s="4">
        <v>80918.31</v>
      </c>
      <c r="C3" s="4">
        <v>16018.19</v>
      </c>
      <c r="D3" s="4">
        <v>174281.86</v>
      </c>
      <c r="E3" s="4">
        <v>271218.36</v>
      </c>
      <c r="F3" s="6" t="s">
        <v>5</v>
      </c>
      <c r="G3" s="5">
        <f>SUM(B3:D3)</f>
        <v>271218.36</v>
      </c>
    </row>
    <row r="4" spans="1:7" s="3" customFormat="1" hidden="1" x14ac:dyDescent="0.25">
      <c r="A4" s="4" t="s">
        <v>0</v>
      </c>
      <c r="B4" s="4">
        <v>71458.27</v>
      </c>
      <c r="C4" s="4">
        <v>14688.78</v>
      </c>
      <c r="D4" s="4">
        <v>153771.48000000001</v>
      </c>
      <c r="E4" s="4">
        <v>239918.53</v>
      </c>
      <c r="F4" s="6" t="s">
        <v>4</v>
      </c>
      <c r="G4" s="5">
        <f>SUM(B4:D4)</f>
        <v>239918.53000000003</v>
      </c>
    </row>
    <row r="5" spans="1:7" s="3" customFormat="1" hidden="1" x14ac:dyDescent="0.25">
      <c r="A5" s="4" t="s">
        <v>1</v>
      </c>
      <c r="B5" s="4">
        <v>84182.96</v>
      </c>
      <c r="C5" s="4">
        <v>15461.87</v>
      </c>
      <c r="D5" s="4">
        <v>180907.62</v>
      </c>
      <c r="E5" s="4">
        <v>280552.46000000002</v>
      </c>
      <c r="F5" s="6" t="s">
        <v>4</v>
      </c>
      <c r="G5" s="5">
        <f>SUM(B5:D5)</f>
        <v>280552.45</v>
      </c>
    </row>
    <row r="6" spans="1:7" s="3" customFormat="1" hidden="1" x14ac:dyDescent="0.25">
      <c r="A6" s="4" t="s">
        <v>0</v>
      </c>
      <c r="B6" s="4">
        <v>43703.42</v>
      </c>
      <c r="C6" s="4">
        <v>15010.18</v>
      </c>
      <c r="D6" s="4">
        <v>151199.26999999999</v>
      </c>
      <c r="E6" s="4">
        <v>209912.87</v>
      </c>
      <c r="F6" s="6" t="s">
        <v>7</v>
      </c>
      <c r="G6" s="5">
        <f t="shared" ref="G6:G9" si="0">SUM(B6:D6)</f>
        <v>209912.87</v>
      </c>
    </row>
    <row r="7" spans="1:7" s="3" customFormat="1" hidden="1" x14ac:dyDescent="0.25">
      <c r="A7" s="4" t="s">
        <v>1</v>
      </c>
      <c r="B7" s="4">
        <v>52957.3</v>
      </c>
      <c r="C7" s="4">
        <v>15800.19</v>
      </c>
      <c r="D7" s="4">
        <v>177881.49</v>
      </c>
      <c r="E7" s="4">
        <v>246638.98</v>
      </c>
      <c r="F7" s="6" t="s">
        <v>7</v>
      </c>
      <c r="G7" s="5">
        <f t="shared" si="0"/>
        <v>246638.97999999998</v>
      </c>
    </row>
    <row r="8" spans="1:7" s="3" customFormat="1" hidden="1" x14ac:dyDescent="0.25">
      <c r="A8" s="4" t="s">
        <v>0</v>
      </c>
      <c r="B8" s="4">
        <v>42001.63</v>
      </c>
      <c r="C8" s="4">
        <v>22850.57</v>
      </c>
      <c r="D8" s="4">
        <v>188553.06</v>
      </c>
      <c r="E8" s="4">
        <v>253405.26</v>
      </c>
      <c r="F8" s="6" t="s">
        <v>11</v>
      </c>
      <c r="G8" s="5">
        <f t="shared" si="0"/>
        <v>253405.26</v>
      </c>
    </row>
    <row r="9" spans="1:7" s="3" customFormat="1" hidden="1" x14ac:dyDescent="0.25">
      <c r="A9" s="4" t="s">
        <v>1</v>
      </c>
      <c r="B9" s="4">
        <v>50476.11</v>
      </c>
      <c r="C9" s="4">
        <v>24053.23</v>
      </c>
      <c r="D9" s="4">
        <v>221827.13</v>
      </c>
      <c r="E9" s="4">
        <v>296356.46999999997</v>
      </c>
      <c r="F9" s="6" t="s">
        <v>11</v>
      </c>
      <c r="G9" s="5">
        <f t="shared" si="0"/>
        <v>296356.46999999997</v>
      </c>
    </row>
    <row r="10" spans="1:7" x14ac:dyDescent="0.25">
      <c r="A10" s="4" t="s">
        <v>0</v>
      </c>
      <c r="B10" s="4">
        <v>41837.449999999997</v>
      </c>
      <c r="C10" s="4">
        <v>20319.419999999998</v>
      </c>
      <c r="D10" s="4">
        <v>158084.46</v>
      </c>
      <c r="E10" s="4">
        <v>220241.33</v>
      </c>
      <c r="F10" s="6" t="s">
        <v>12</v>
      </c>
      <c r="G10" s="5">
        <f t="shared" ref="G10:G11" si="1">SUM(B10:D10)</f>
        <v>220241.33</v>
      </c>
    </row>
    <row r="11" spans="1:7" x14ac:dyDescent="0.25">
      <c r="A11" s="4" t="s">
        <v>1</v>
      </c>
      <c r="B11" s="4">
        <v>50279.39</v>
      </c>
      <c r="C11" s="4">
        <v>21388.86</v>
      </c>
      <c r="D11" s="4">
        <v>185981.72</v>
      </c>
      <c r="E11" s="4">
        <v>257649.97</v>
      </c>
      <c r="F11" s="6" t="s">
        <v>12</v>
      </c>
      <c r="G11" s="5">
        <f t="shared" si="1"/>
        <v>257649.97</v>
      </c>
    </row>
  </sheetData>
  <autoFilter ref="A1:G11" xr:uid="{00000000-0001-0000-0000-000000000000}">
    <filterColumn colId="5">
      <filters>
        <filter val="2026/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Xiao</dc:creator>
  <cp:lastModifiedBy>Bo Xiao</cp:lastModifiedBy>
  <dcterms:created xsi:type="dcterms:W3CDTF">2015-06-05T18:17:20Z</dcterms:created>
  <dcterms:modified xsi:type="dcterms:W3CDTF">2026-02-01T21:37:01Z</dcterms:modified>
</cp:coreProperties>
</file>